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75" windowWidth="20115" windowHeight="1107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D5" i="1" l="1"/>
  <c r="I8" i="1" s="1"/>
  <c r="I9" i="1" s="1"/>
  <c r="I10" i="1" s="1"/>
  <c r="F5" i="1"/>
  <c r="I5" i="1"/>
  <c r="Z5" i="1" s="1"/>
  <c r="B8" i="1" l="1"/>
  <c r="B9" i="1" s="1"/>
  <c r="B10" i="1" s="1"/>
  <c r="F8" i="1"/>
  <c r="F9" i="1" s="1"/>
  <c r="F10" i="1" s="1"/>
  <c r="C8" i="1"/>
  <c r="C9" i="1" s="1"/>
  <c r="C10" i="1" s="1"/>
  <c r="G8" i="1"/>
  <c r="G9" i="1" s="1"/>
  <c r="G10" i="1" s="1"/>
  <c r="D8" i="1"/>
  <c r="D9" i="1" s="1"/>
  <c r="D10" i="1" s="1"/>
  <c r="H8" i="1"/>
  <c r="H9" i="1" s="1"/>
  <c r="H10" i="1" s="1"/>
  <c r="E8" i="1"/>
  <c r="E9" i="1" s="1"/>
  <c r="E10" i="1" s="1"/>
  <c r="K5" i="1"/>
  <c r="O5" i="1"/>
  <c r="S5" i="1"/>
  <c r="W5" i="1"/>
  <c r="AA5" i="1"/>
  <c r="L5" i="1"/>
  <c r="P5" i="1"/>
  <c r="T5" i="1"/>
  <c r="X5" i="1"/>
  <c r="M5" i="1"/>
  <c r="Q5" i="1"/>
  <c r="U5" i="1"/>
  <c r="Y5" i="1"/>
  <c r="N5" i="1"/>
  <c r="R5" i="1"/>
  <c r="V5" i="1"/>
  <c r="I12" i="1"/>
  <c r="C3" i="1"/>
  <c r="F3" i="1" s="1"/>
  <c r="G3" i="1" s="1"/>
  <c r="C2" i="1"/>
  <c r="F2" i="1" s="1"/>
  <c r="G2" i="1" s="1"/>
  <c r="H12" i="1"/>
  <c r="G12" i="1"/>
  <c r="F12" i="1"/>
  <c r="E12" i="1"/>
  <c r="D12" i="1"/>
  <c r="C12" i="1"/>
  <c r="B12" i="1"/>
  <c r="I11" i="1"/>
  <c r="H11" i="1"/>
  <c r="G11" i="1"/>
  <c r="F11" i="1"/>
  <c r="E11" i="1"/>
  <c r="D11" i="1"/>
  <c r="C11" i="1"/>
  <c r="B11" i="1"/>
  <c r="B4" i="1"/>
  <c r="C4" i="1" s="1"/>
  <c r="D4" i="1" s="1"/>
  <c r="E4" i="1" s="1"/>
  <c r="H31" i="1"/>
  <c r="C31" i="1"/>
  <c r="D31" i="1"/>
  <c r="B31" i="1"/>
  <c r="E31" i="1"/>
  <c r="F31" i="1"/>
  <c r="I31" i="1"/>
  <c r="B19" i="1"/>
  <c r="G31" i="1"/>
  <c r="B33" i="1" l="1"/>
  <c r="B32" i="1"/>
  <c r="C13" i="1"/>
  <c r="G13" i="1"/>
  <c r="G14" i="1" s="1"/>
  <c r="G15" i="1" s="1"/>
  <c r="D13" i="1"/>
  <c r="D14" i="1" s="1"/>
  <c r="D15" i="1" s="1"/>
  <c r="E13" i="1"/>
  <c r="E14" i="1" s="1"/>
  <c r="E15" i="1" s="1"/>
  <c r="F13" i="1"/>
  <c r="F14" i="1" s="1"/>
  <c r="F15" i="1" s="1"/>
  <c r="H2" i="1"/>
  <c r="I2" i="1" s="1"/>
  <c r="D3" i="1"/>
  <c r="E3" i="1" s="1"/>
  <c r="H3" i="1"/>
  <c r="I3" i="1" s="1"/>
  <c r="B5" i="1"/>
  <c r="D2" i="1"/>
  <c r="E2" i="1" s="1"/>
  <c r="B13" i="1"/>
  <c r="B14" i="1" s="1"/>
  <c r="B15" i="1" s="1"/>
  <c r="B16" i="1"/>
  <c r="I13" i="1"/>
  <c r="I14" i="1" s="1"/>
  <c r="I15" i="1" s="1"/>
  <c r="F4" i="1"/>
  <c r="G4" i="1" s="1"/>
  <c r="H13" i="1"/>
  <c r="H14" i="1" s="1"/>
  <c r="H15" i="1" s="1"/>
  <c r="B22" i="1"/>
  <c r="B28" i="1"/>
  <c r="B25" i="1"/>
  <c r="B34" i="1" l="1"/>
  <c r="I34" i="1"/>
  <c r="H4" i="1"/>
  <c r="I4" i="1" s="1"/>
  <c r="B23" i="1"/>
  <c r="B24" i="1" s="1"/>
  <c r="D24" i="1" s="1"/>
  <c r="B26" i="1"/>
  <c r="B29" i="1"/>
  <c r="B17" i="1"/>
  <c r="I18" i="1" s="1"/>
  <c r="B20" i="1"/>
  <c r="C14" i="1"/>
  <c r="B21" i="1" l="1"/>
  <c r="D21" i="1" s="1"/>
  <c r="I21" i="1"/>
  <c r="B30" i="1"/>
  <c r="D30" i="1" s="1"/>
  <c r="I30" i="1"/>
  <c r="B27" i="1"/>
  <c r="D27" i="1" s="1"/>
  <c r="I27" i="1"/>
  <c r="B18" i="1"/>
  <c r="C15" i="1"/>
</calcChain>
</file>

<file path=xl/sharedStrings.xml><?xml version="1.0" encoding="utf-8"?>
<sst xmlns="http://schemas.openxmlformats.org/spreadsheetml/2006/main" count="38" uniqueCount="35">
  <si>
    <t>Full Hex Value</t>
  </si>
  <si>
    <t>Full Bin Value</t>
  </si>
  <si>
    <t>Dcache Buffer size (bytes)</t>
  </si>
  <si>
    <t>Dchace Index Size</t>
  </si>
  <si>
    <t>Alpha Page Size (bytes)</t>
  </si>
  <si>
    <t>Decimal</t>
  </si>
  <si>
    <t>Hex</t>
  </si>
  <si>
    <t>Binary</t>
  </si>
  <si>
    <t>High Value</t>
  </si>
  <si>
    <t>Full Decimal Value</t>
  </si>
  <si>
    <t>Dcache Offset Decimal</t>
  </si>
  <si>
    <t>Dcache Offset Hex</t>
  </si>
  <si>
    <t>High Value Mask</t>
  </si>
  <si>
    <t>Mask Hex</t>
  </si>
  <si>
    <t>Mask Binary</t>
  </si>
  <si>
    <t>Dcache Index Decimal</t>
  </si>
  <si>
    <t>Dcache Page Offset Decimal</t>
  </si>
  <si>
    <t>Dcache Page Offset Hex</t>
  </si>
  <si>
    <t>Dcache Index Hex</t>
  </si>
  <si>
    <t>Dcache Index Decimal Loc</t>
  </si>
  <si>
    <t>Dcache Index Hex Loc</t>
  </si>
  <si>
    <t>Dcache Index Binary Loc</t>
  </si>
  <si>
    <t>Mask Binary Formatted</t>
  </si>
  <si>
    <t>Dcache Offset Binary</t>
  </si>
  <si>
    <t>Dcache Index Binary</t>
  </si>
  <si>
    <t>Dcache Page Offset Binary</t>
  </si>
  <si>
    <t>Binary Formatted</t>
  </si>
  <si>
    <t>Virual Page Number</t>
  </si>
  <si>
    <t>VPN Masks Decimal</t>
  </si>
  <si>
    <t>VPN Masks Hex</t>
  </si>
  <si>
    <t>VPN Masks Binary</t>
  </si>
  <si>
    <t>Virtual Page Number by Byte</t>
  </si>
  <si>
    <t>Virtual Page Number Decimal</t>
  </si>
  <si>
    <t>Virtual Page Number Hex</t>
  </si>
  <si>
    <t>Virtual Page Number Bin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</si>
</sst>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right"/>
    </xf>
    <xf numFmtId="1" fontId="0" fillId="0" borderId="0" xfId="0" applyNumberFormat="1" applyAlignment="1"/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0" fontId="2" fillId="0" borderId="0" xfId="0" applyFont="1" applyAlignment="1">
      <alignment horizontal="right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34"/>
  <sheetViews>
    <sheetView tabSelected="1" workbookViewId="0">
      <selection activeCell="B34" sqref="B34:H34"/>
    </sheetView>
  </sheetViews>
  <sheetFormatPr defaultRowHeight="15" x14ac:dyDescent="0.25"/>
  <cols>
    <col min="1" max="1" width="27.5703125" bestFit="1" customWidth="1"/>
    <col min="2" max="2" width="12.28515625" customWidth="1"/>
    <col min="3" max="3" width="10.5703125" bestFit="1" customWidth="1"/>
    <col min="4" max="4" width="9.42578125" bestFit="1" customWidth="1"/>
    <col min="5" max="5" width="14.140625" bestFit="1" customWidth="1"/>
    <col min="6" max="6" width="20.5703125" customWidth="1"/>
    <col min="7" max="7" width="19.140625" customWidth="1"/>
    <col min="8" max="8" width="25.5703125" customWidth="1"/>
    <col min="9" max="9" width="21.7109375" bestFit="1" customWidth="1"/>
    <col min="10" max="10" width="36.140625" customWidth="1"/>
    <col min="11" max="27" width="3" bestFit="1" customWidth="1"/>
    <col min="28" max="28" width="25" bestFit="1" customWidth="1"/>
    <col min="29" max="29" width="17.42578125" bestFit="1" customWidth="1"/>
    <col min="30" max="30" width="20.5703125" bestFit="1" customWidth="1"/>
  </cols>
  <sheetData>
    <row r="1" spans="1:27" x14ac:dyDescent="0.25">
      <c r="B1" t="s">
        <v>5</v>
      </c>
      <c r="C1" t="s">
        <v>8</v>
      </c>
      <c r="D1" t="s">
        <v>6</v>
      </c>
      <c r="E1" t="s">
        <v>7</v>
      </c>
      <c r="F1" t="s">
        <v>12</v>
      </c>
      <c r="G1" t="s">
        <v>13</v>
      </c>
      <c r="H1" t="s">
        <v>14</v>
      </c>
      <c r="I1" t="s">
        <v>22</v>
      </c>
    </row>
    <row r="2" spans="1:27" x14ac:dyDescent="0.25">
      <c r="A2" s="2" t="s">
        <v>2</v>
      </c>
      <c r="B2">
        <v>64</v>
      </c>
      <c r="C2">
        <f>B2-1</f>
        <v>63</v>
      </c>
      <c r="D2" t="str">
        <f>DEC2HEX(C2,2)</f>
        <v>3F</v>
      </c>
      <c r="E2" t="str">
        <f>HEX2BIN(D2)</f>
        <v>111111</v>
      </c>
      <c r="F2">
        <f>C2</f>
        <v>63</v>
      </c>
      <c r="G2" t="str">
        <f>DEC2HEX(F2,2)</f>
        <v>3F</v>
      </c>
      <c r="H2" t="str">
        <f>"0000000000"&amp;HEX2BIN(G2)</f>
        <v>0000000000111111</v>
      </c>
      <c r="I2" s="7" t="str">
        <f>MID(H2, 1, 4)&amp;" "&amp;MID(H2, 5, 4)&amp;" "&amp;MID(H2, 9, 4)&amp;" "&amp;MID(H2, 13, 4)</f>
        <v>0000 0000 0011 1111</v>
      </c>
      <c r="J2" s="7"/>
    </row>
    <row r="3" spans="1:27" x14ac:dyDescent="0.25">
      <c r="A3" s="2" t="s">
        <v>3</v>
      </c>
      <c r="B3">
        <v>512</v>
      </c>
      <c r="C3">
        <f>B3-1</f>
        <v>511</v>
      </c>
      <c r="D3" t="str">
        <f>DEC2HEX(C3,3)</f>
        <v>1FF</v>
      </c>
      <c r="E3" t="str">
        <f>HEX2BIN(D3)</f>
        <v>111111111</v>
      </c>
      <c r="F3">
        <f>C3*B2</f>
        <v>32704</v>
      </c>
      <c r="G3" t="str">
        <f>DEC2HEX(F3)</f>
        <v>7FC0</v>
      </c>
      <c r="H3" t="str">
        <f>"0"&amp;HEX2BIN(MID(G3,1,2))&amp;HEX2BIN(MID(G3,3,2))</f>
        <v>0111111111000000</v>
      </c>
      <c r="I3" s="7" t="str">
        <f>MID(H3, 1, 4)&amp;" "&amp;MID(H3, 5, 4)&amp;" "&amp;MID(H3, 9, 4)&amp;" "&amp;MID(H3, 13, 4)</f>
        <v>0111 1111 1100 0000</v>
      </c>
      <c r="J3" s="7"/>
    </row>
    <row r="4" spans="1:27" x14ac:dyDescent="0.25">
      <c r="A4" s="2" t="s">
        <v>4</v>
      </c>
      <c r="B4">
        <f>8*1024</f>
        <v>8192</v>
      </c>
      <c r="C4">
        <f>B4-1</f>
        <v>8191</v>
      </c>
      <c r="D4" t="str">
        <f>DEC2HEX(C4,4)</f>
        <v>1FFF</v>
      </c>
      <c r="E4" t="str">
        <f>HEX2BIN(MID(D4,1,2))&amp;HEX2BIN(MID(D4,3,2))</f>
        <v>1111111111111</v>
      </c>
      <c r="F4">
        <f>C4</f>
        <v>8191</v>
      </c>
      <c r="G4" t="str">
        <f>DEC2HEX(F4,4)</f>
        <v>1FFF</v>
      </c>
      <c r="H4" t="str">
        <f>"000"&amp;HEX2BIN(MID(G4,1,2))&amp;HEX2BIN(MID(G4,3,2))</f>
        <v>0001111111111111</v>
      </c>
      <c r="I4" s="7" t="str">
        <f>MID(H4, 1, 4)&amp;" "&amp;MID(H4, 5, 4)&amp;" "&amp;MID(H4, 9, 4)&amp;" "&amp;MID(H4, 13, 4)</f>
        <v>0001 1111 1111 1111</v>
      </c>
      <c r="J4" s="7"/>
    </row>
    <row r="5" spans="1:27" x14ac:dyDescent="0.25">
      <c r="A5" s="2" t="s">
        <v>27</v>
      </c>
      <c r="B5" s="6">
        <f>(((((((((((((((K5*16+L5)*16+M5)*16+N5)*16+O5)*16+P5)*16+Q5)*16+R5)*16+S5)*16+T5)*16+U5)*16+V5)*16+W5)*16+X5)*16+Y5)*16+Z5)*16+AA5</f>
        <v>2.9514790517935269E+20</v>
      </c>
      <c r="C5" s="6"/>
      <c r="D5" s="10" t="str">
        <f>"FFFFFFFFFFFFE000"</f>
        <v>FFFFFFFFFFFFE000</v>
      </c>
      <c r="E5" s="10"/>
      <c r="F5" s="7" t="str">
        <f>"1111111111111111111111111111111111111111111111111110000000000000"</f>
        <v>1111111111111111111111111111111111111111111111111110000000000000</v>
      </c>
      <c r="G5" s="7"/>
      <c r="H5" s="7"/>
      <c r="I5" s="7" t="str">
        <f>"1111 1111 1111 1111 1111 1111 1111 1111 1111 1111 1111 1111 1110 0000 0000 0000"</f>
        <v>1111 1111 1111 1111 1111 1111 1111 1111 1111 1111 1111 1111 1110 0000 0000 0000</v>
      </c>
      <c r="J5" s="7"/>
      <c r="K5">
        <f>BIN2DEC(MID($I$5,1,4))</f>
        <v>15</v>
      </c>
      <c r="L5">
        <f>BIN2DEC(MID($I$5,6,4))</f>
        <v>15</v>
      </c>
      <c r="M5">
        <f>BIN2DEC(MID($I$5,11,4))</f>
        <v>15</v>
      </c>
      <c r="N5">
        <f>BIN2DEC(MID($I$5,16,4))</f>
        <v>15</v>
      </c>
      <c r="O5">
        <f>BIN2DEC(MID($I$5,21,4))</f>
        <v>15</v>
      </c>
      <c r="P5">
        <f>BIN2DEC(MID($I$5,26,4))</f>
        <v>15</v>
      </c>
      <c r="Q5">
        <f>BIN2DEC(MID($I$5,31,4))</f>
        <v>15</v>
      </c>
      <c r="R5">
        <f>BIN2DEC(MID($I$5,36,4))</f>
        <v>15</v>
      </c>
      <c r="S5">
        <f>BIN2DEC(MID($I$5,41,4))</f>
        <v>15</v>
      </c>
      <c r="T5">
        <f>BIN2DEC(MID($I$5,46,4))</f>
        <v>15</v>
      </c>
      <c r="U5">
        <f>BIN2DEC(MID($I$5,51,4))</f>
        <v>15</v>
      </c>
      <c r="V5">
        <f>BIN2DEC(MID($I$5,56,4))</f>
        <v>15</v>
      </c>
      <c r="W5">
        <f>BIN2DEC(MID($I$5,61,4))</f>
        <v>14</v>
      </c>
      <c r="X5">
        <f>BIN2DEC(MID($I$5,66,4))</f>
        <v>0</v>
      </c>
      <c r="Y5">
        <f>BIN2DEC(MID($I$5,71,4))</f>
        <v>0</v>
      </c>
      <c r="Z5">
        <f>BIN2DEC(MID($I$5,76,4))</f>
        <v>0</v>
      </c>
      <c r="AA5">
        <f>BIN2DEC(MID($I$5,81,4))</f>
        <v>0</v>
      </c>
    </row>
    <row r="8" spans="1:27" x14ac:dyDescent="0.25">
      <c r="A8" t="s">
        <v>29</v>
      </c>
      <c r="B8" s="3" t="str">
        <f>MID($D$5,1,2)</f>
        <v>FF</v>
      </c>
      <c r="C8" s="3" t="str">
        <f>MID($D$5,3,2)</f>
        <v>FF</v>
      </c>
      <c r="D8" s="3" t="str">
        <f>MID($D$5,5,2)</f>
        <v>FF</v>
      </c>
      <c r="E8" s="3" t="str">
        <f>MID($D$5,7,2)</f>
        <v>FF</v>
      </c>
      <c r="F8" s="3" t="str">
        <f>MID($D$5,9,2)</f>
        <v>FF</v>
      </c>
      <c r="G8" s="3" t="str">
        <f>MID($D$5,11,2)</f>
        <v>FF</v>
      </c>
      <c r="H8" s="3" t="str">
        <f>MID($D$5,13,2)</f>
        <v>E0</v>
      </c>
      <c r="I8" s="3" t="str">
        <f>MID($D$5,15,2)</f>
        <v>00</v>
      </c>
    </row>
    <row r="9" spans="1:27" x14ac:dyDescent="0.25">
      <c r="A9" t="s">
        <v>28</v>
      </c>
      <c r="B9" s="3">
        <f t="shared" ref="B9:I9" si="0">HEX2DEC(B8)</f>
        <v>255</v>
      </c>
      <c r="C9" s="3">
        <f t="shared" si="0"/>
        <v>255</v>
      </c>
      <c r="D9" s="3">
        <f t="shared" si="0"/>
        <v>255</v>
      </c>
      <c r="E9" s="3">
        <f t="shared" si="0"/>
        <v>255</v>
      </c>
      <c r="F9" s="3">
        <f t="shared" si="0"/>
        <v>255</v>
      </c>
      <c r="G9" s="3">
        <f t="shared" si="0"/>
        <v>255</v>
      </c>
      <c r="H9" s="3">
        <f t="shared" si="0"/>
        <v>224</v>
      </c>
      <c r="I9" s="3">
        <f t="shared" si="0"/>
        <v>0</v>
      </c>
    </row>
    <row r="10" spans="1:27" x14ac:dyDescent="0.25">
      <c r="A10" t="s">
        <v>30</v>
      </c>
      <c r="B10" s="3" t="str">
        <f>DEC2BIN(B9)</f>
        <v>11111111</v>
      </c>
      <c r="C10" s="3" t="str">
        <f t="shared" ref="C10:I10" si="1">DEC2BIN(C9)</f>
        <v>11111111</v>
      </c>
      <c r="D10" s="3" t="str">
        <f t="shared" si="1"/>
        <v>11111111</v>
      </c>
      <c r="E10" s="3" t="str">
        <f t="shared" si="1"/>
        <v>11111111</v>
      </c>
      <c r="F10" s="3" t="str">
        <f t="shared" si="1"/>
        <v>11111111</v>
      </c>
      <c r="G10" s="3" t="str">
        <f t="shared" si="1"/>
        <v>11111111</v>
      </c>
      <c r="H10" s="3" t="str">
        <f t="shared" si="1"/>
        <v>11100000</v>
      </c>
      <c r="I10" s="3" t="str">
        <f t="shared" si="1"/>
        <v>0</v>
      </c>
    </row>
    <row r="11" spans="1:27" x14ac:dyDescent="0.25">
      <c r="B11" t="str">
        <f>"Bits " &amp;63&amp;"-"&amp;63-8+1</f>
        <v>Bits 63-56</v>
      </c>
      <c r="C11" t="str">
        <f>"Bits " &amp;55&amp;"-"&amp;55-8+1</f>
        <v>Bits 55-48</v>
      </c>
      <c r="D11" t="str">
        <f>"Bits " &amp;47&amp;"-"&amp;47-8+1</f>
        <v>Bits 47-40</v>
      </c>
      <c r="E11" t="str">
        <f>"Bits " &amp;39&amp;"-"&amp;39-8+1</f>
        <v>Bits 39-32</v>
      </c>
      <c r="F11" t="str">
        <f>"Bits " &amp;31&amp;"-"&amp;31-8+1</f>
        <v>Bits 31-24</v>
      </c>
      <c r="G11" t="str">
        <f>"Bits " &amp;23&amp;"-"&amp;23-8+1</f>
        <v>Bits 23-16</v>
      </c>
      <c r="H11" t="str">
        <f>"Bits " &amp;15&amp;"-"&amp;15-8+1</f>
        <v>Bits 15-8</v>
      </c>
      <c r="I11" t="str">
        <f>"Bits " &amp;7&amp;"-"&amp;7-8+1</f>
        <v>Bits 7-0</v>
      </c>
    </row>
    <row r="12" spans="1:27" x14ac:dyDescent="0.25">
      <c r="A12" t="s">
        <v>5</v>
      </c>
      <c r="B12" s="1">
        <f t="shared" ref="B12:I12" ca="1" si="2">INT(RAND()*256)</f>
        <v>158</v>
      </c>
      <c r="C12" s="1">
        <f t="shared" ca="1" si="2"/>
        <v>16</v>
      </c>
      <c r="D12" s="1">
        <f t="shared" ca="1" si="2"/>
        <v>4</v>
      </c>
      <c r="E12" s="1">
        <f t="shared" ca="1" si="2"/>
        <v>109</v>
      </c>
      <c r="F12" s="1">
        <f t="shared" ca="1" si="2"/>
        <v>119</v>
      </c>
      <c r="G12" s="1">
        <f t="shared" ca="1" si="2"/>
        <v>238</v>
      </c>
      <c r="H12" s="1">
        <f t="shared" ca="1" si="2"/>
        <v>241</v>
      </c>
      <c r="I12" s="1">
        <f t="shared" ca="1" si="2"/>
        <v>234</v>
      </c>
      <c r="J12" s="1"/>
    </row>
    <row r="13" spans="1:27" x14ac:dyDescent="0.25">
      <c r="A13" t="s">
        <v>6</v>
      </c>
      <c r="B13" s="1" t="str">
        <f t="shared" ref="B13:I13" ca="1" si="3">DEC2HEX(B12,2)</f>
        <v>9E</v>
      </c>
      <c r="C13" s="1" t="str">
        <f t="shared" ca="1" si="3"/>
        <v>10</v>
      </c>
      <c r="D13" s="1" t="str">
        <f t="shared" ca="1" si="3"/>
        <v>04</v>
      </c>
      <c r="E13" s="1" t="str">
        <f t="shared" ca="1" si="3"/>
        <v>6D</v>
      </c>
      <c r="F13" s="1" t="str">
        <f t="shared" ca="1" si="3"/>
        <v>77</v>
      </c>
      <c r="G13" s="1" t="str">
        <f t="shared" ca="1" si="3"/>
        <v>EE</v>
      </c>
      <c r="H13" s="1" t="str">
        <f t="shared" ca="1" si="3"/>
        <v>F1</v>
      </c>
      <c r="I13" s="1" t="str">
        <f t="shared" ca="1" si="3"/>
        <v>EA</v>
      </c>
    </row>
    <row r="14" spans="1:27" x14ac:dyDescent="0.25">
      <c r="A14" t="s">
        <v>7</v>
      </c>
      <c r="B14" s="1" t="str">
        <f t="shared" ref="B14:I14" ca="1" si="4">HEX2BIN(B13,8)</f>
        <v>10011110</v>
      </c>
      <c r="C14" s="1" t="str">
        <f t="shared" ca="1" si="4"/>
        <v>00010000</v>
      </c>
      <c r="D14" s="1" t="str">
        <f t="shared" ca="1" si="4"/>
        <v>00000100</v>
      </c>
      <c r="E14" s="1" t="str">
        <f t="shared" ca="1" si="4"/>
        <v>01101101</v>
      </c>
      <c r="F14" s="1" t="str">
        <f t="shared" ca="1" si="4"/>
        <v>01110111</v>
      </c>
      <c r="G14" s="1" t="str">
        <f t="shared" ca="1" si="4"/>
        <v>11101110</v>
      </c>
      <c r="H14" s="1" t="str">
        <f t="shared" ca="1" si="4"/>
        <v>11110001</v>
      </c>
      <c r="I14" s="1" t="str">
        <f t="shared" ca="1" si="4"/>
        <v>11101010</v>
      </c>
    </row>
    <row r="15" spans="1:27" x14ac:dyDescent="0.25">
      <c r="A15" t="s">
        <v>26</v>
      </c>
      <c r="B15" s="1" t="str">
        <f t="shared" ref="B15:I15" ca="1" si="5">MID(B14,1,4)&amp;" "&amp;MID(B14,5,4)</f>
        <v>1001 1110</v>
      </c>
      <c r="C15" s="1" t="str">
        <f t="shared" ca="1" si="5"/>
        <v>0001 0000</v>
      </c>
      <c r="D15" s="1" t="str">
        <f t="shared" ca="1" si="5"/>
        <v>0000 0100</v>
      </c>
      <c r="E15" s="1" t="str">
        <f t="shared" ca="1" si="5"/>
        <v>0110 1101</v>
      </c>
      <c r="F15" s="1" t="str">
        <f t="shared" ca="1" si="5"/>
        <v>0111 0111</v>
      </c>
      <c r="G15" s="1" t="str">
        <f t="shared" ca="1" si="5"/>
        <v>1110 1110</v>
      </c>
      <c r="H15" s="1" t="str">
        <f t="shared" ca="1" si="5"/>
        <v>1111 0001</v>
      </c>
      <c r="I15" s="1" t="str">
        <f t="shared" ca="1" si="5"/>
        <v>1110 1010</v>
      </c>
    </row>
    <row r="16" spans="1:27" x14ac:dyDescent="0.25">
      <c r="A16" t="s">
        <v>9</v>
      </c>
      <c r="B16" s="8">
        <f ca="1">((((((B12*256+C12)*256+D12)*256+E12)*256+F12)*256+G12)*256+H12)*256+I12</f>
        <v>1.1389608325830078E+19</v>
      </c>
      <c r="C16" s="8"/>
      <c r="D16" s="8"/>
      <c r="E16" s="8"/>
      <c r="F16" s="8"/>
      <c r="G16" s="8"/>
      <c r="H16" s="8"/>
      <c r="I16" s="2"/>
    </row>
    <row r="17" spans="1:9" x14ac:dyDescent="0.25">
      <c r="A17" t="s">
        <v>0</v>
      </c>
      <c r="B17" s="9" t="str">
        <f ca="1">B13&amp;C13&amp;D13&amp;E13&amp;F13&amp;G13&amp;H13&amp;I13</f>
        <v>9E10046D77EEF1EA</v>
      </c>
      <c r="C17" s="9"/>
      <c r="D17" s="9"/>
      <c r="E17" s="9"/>
      <c r="F17" s="9"/>
      <c r="G17" s="9"/>
      <c r="H17" s="9"/>
      <c r="I17" s="2"/>
    </row>
    <row r="18" spans="1:9" x14ac:dyDescent="0.25">
      <c r="A18" t="s">
        <v>1</v>
      </c>
      <c r="B18" s="5" t="str">
        <f ca="1">MID(B14,1,4)&amp;" "&amp;MID(B14,5,4)&amp;" "&amp;MID(C14,1,4)&amp;" "&amp;MID(C14,5,4)&amp;" "&amp;MID(D14,1,4)&amp;" "&amp;MID(D14,5,4)&amp;" "&amp;MID(E14,1,4)&amp;" "&amp;MID(E14,5,4)&amp;" "&amp;MID(F14,1,4)&amp;" "&amp;MID(F14,5,4)&amp;" "&amp;MID(G14,1,4)&amp;" "&amp;MID(G14,5,4)&amp;" "&amp;MID(H14,1,4)&amp;" "&amp;MID(H14,5,4)&amp;" "&amp;MID(I14,1,4)&amp;" "&amp;MID(I14,5,4)</f>
        <v>1001 1110 0001 0000 0000 0100 0110 1101 0111 0111 1110 1110 1111 0001 1110 1010</v>
      </c>
      <c r="C18" s="5"/>
      <c r="D18" s="5"/>
      <c r="E18" s="5"/>
      <c r="F18" s="5"/>
      <c r="G18" s="5"/>
      <c r="H18" s="5"/>
      <c r="I18" s="4" t="str">
        <f ca="1">B17</f>
        <v>9E10046D77EEF1EA</v>
      </c>
    </row>
    <row r="19" spans="1:9" x14ac:dyDescent="0.25">
      <c r="A19" t="s">
        <v>10</v>
      </c>
      <c r="B19" s="7">
        <f ca="1">BITAND(I12,$C$2)</f>
        <v>42</v>
      </c>
      <c r="C19" s="7"/>
    </row>
    <row r="20" spans="1:9" x14ac:dyDescent="0.25">
      <c r="A20" t="s">
        <v>11</v>
      </c>
      <c r="B20" s="7" t="str">
        <f ca="1">DEC2HEX(B19,2)</f>
        <v>2A</v>
      </c>
      <c r="C20" s="7"/>
    </row>
    <row r="21" spans="1:9" x14ac:dyDescent="0.25">
      <c r="A21" t="s">
        <v>23</v>
      </c>
      <c r="B21" s="7" t="str">
        <f ca="1">HEX2BIN(B20,LEN(E2))</f>
        <v>101010</v>
      </c>
      <c r="C21" s="7"/>
      <c r="D21" s="5" t="str">
        <f ca="1">MID(B21, 1, 2)&amp;" "&amp;MID(B21, 3, 4)</f>
        <v>10 1010</v>
      </c>
      <c r="E21" s="5"/>
      <c r="F21" s="5"/>
      <c r="G21" s="5"/>
      <c r="H21" s="5"/>
      <c r="I21" s="4" t="str">
        <f ca="1">B20</f>
        <v>2A</v>
      </c>
    </row>
    <row r="22" spans="1:9" x14ac:dyDescent="0.25">
      <c r="A22" t="s">
        <v>15</v>
      </c>
      <c r="B22" s="7">
        <f ca="1">BITAND((H12*256+I12),$F$3)/$B$2</f>
        <v>455</v>
      </c>
      <c r="C22" s="7"/>
    </row>
    <row r="23" spans="1:9" x14ac:dyDescent="0.25">
      <c r="A23" t="s">
        <v>18</v>
      </c>
      <c r="B23" s="7" t="str">
        <f ca="1">DEC2HEX(B22,LEN(D3))</f>
        <v>1C7</v>
      </c>
      <c r="C23" s="7"/>
    </row>
    <row r="24" spans="1:9" x14ac:dyDescent="0.25">
      <c r="A24" t="s">
        <v>24</v>
      </c>
      <c r="B24" s="7" t="str">
        <f ca="1">HEX2BIN(B23,LEN(E3))</f>
        <v>111000111</v>
      </c>
      <c r="C24" s="7"/>
      <c r="D24" s="7" t="str">
        <f ca="1">MID(B24, 1, 1)&amp;" "&amp;MID(B24, 2, 4)&amp;" "&amp;MID(B24, 6, 4)</f>
        <v>1 1100 0111</v>
      </c>
      <c r="E24" s="7"/>
      <c r="F24" s="2"/>
      <c r="G24" s="2"/>
      <c r="H24" s="2"/>
    </row>
    <row r="25" spans="1:9" x14ac:dyDescent="0.25">
      <c r="A25" t="s">
        <v>19</v>
      </c>
      <c r="B25" s="7">
        <f ca="1">BITAND((H12*256+I12),$F$3)</f>
        <v>29120</v>
      </c>
      <c r="C25" s="7"/>
    </row>
    <row r="26" spans="1:9" x14ac:dyDescent="0.25">
      <c r="A26" t="s">
        <v>20</v>
      </c>
      <c r="B26" s="7" t="str">
        <f ca="1">DEC2HEX(B25,4)</f>
        <v>71C0</v>
      </c>
      <c r="C26" s="7"/>
    </row>
    <row r="27" spans="1:9" x14ac:dyDescent="0.25">
      <c r="A27" t="s">
        <v>21</v>
      </c>
      <c r="B27" s="7" t="str">
        <f ca="1">HEX2BIN(MID(B26,1,2),8)&amp;HEX2BIN(MID(B26,3,2),8)</f>
        <v>0111000111000000</v>
      </c>
      <c r="C27" s="7"/>
      <c r="D27" s="5" t="str">
        <f ca="1">MID(B27, 2, 3)&amp;" "&amp;MID(B27, 5, 4)&amp;" "&amp;MID(B27, 9, 4)&amp;" "&amp;MID(B27, 13, 4)</f>
        <v>111 0001 1100 0000</v>
      </c>
      <c r="E27" s="5"/>
      <c r="F27" s="5"/>
      <c r="G27" s="5"/>
      <c r="H27" s="5"/>
      <c r="I27" s="4" t="str">
        <f ca="1">B26</f>
        <v>71C0</v>
      </c>
    </row>
    <row r="28" spans="1:9" x14ac:dyDescent="0.25">
      <c r="A28" t="s">
        <v>16</v>
      </c>
      <c r="B28" s="7">
        <f ca="1">BITAND((H12*256+I12),$F$4)</f>
        <v>4586</v>
      </c>
      <c r="C28" s="7"/>
    </row>
    <row r="29" spans="1:9" x14ac:dyDescent="0.25">
      <c r="A29" t="s">
        <v>17</v>
      </c>
      <c r="B29" s="7" t="str">
        <f ca="1">DEC2HEX(B28, 4)</f>
        <v>11EA</v>
      </c>
      <c r="C29" s="7"/>
    </row>
    <row r="30" spans="1:9" x14ac:dyDescent="0.25">
      <c r="A30" t="s">
        <v>25</v>
      </c>
      <c r="B30" s="7" t="str">
        <f ca="1">HEX2BIN(MID(B29,1,2),8)&amp;HEX2BIN(MID(B29,3,2),8)</f>
        <v>0001000111101010</v>
      </c>
      <c r="C30" s="7"/>
      <c r="D30" s="5" t="str">
        <f ca="1">MID(B30, 4, 1)&amp;" "&amp;MID(B30, 5, 4)&amp;" "&amp;MID(B30, 9, 4)&amp;" "&amp;MID(B30, 13, 4)</f>
        <v>1 0001 1110 1010</v>
      </c>
      <c r="E30" s="5"/>
      <c r="F30" s="5"/>
      <c r="G30" s="5"/>
      <c r="H30" s="5"/>
      <c r="I30" s="4" t="str">
        <f ca="1">B29</f>
        <v>11EA</v>
      </c>
    </row>
    <row r="31" spans="1:9" x14ac:dyDescent="0.25">
      <c r="A31" t="s">
        <v>31</v>
      </c>
      <c r="B31">
        <f ca="1">BITAND(B12,B9)</f>
        <v>158</v>
      </c>
      <c r="C31">
        <f t="shared" ref="C31:I31" ca="1" si="6">BITAND(C12,C9)</f>
        <v>16</v>
      </c>
      <c r="D31">
        <f t="shared" ca="1" si="6"/>
        <v>4</v>
      </c>
      <c r="E31">
        <f t="shared" ca="1" si="6"/>
        <v>109</v>
      </c>
      <c r="F31">
        <f t="shared" ca="1" si="6"/>
        <v>119</v>
      </c>
      <c r="G31">
        <f t="shared" ca="1" si="6"/>
        <v>238</v>
      </c>
      <c r="H31">
        <f t="shared" ca="1" si="6"/>
        <v>224</v>
      </c>
      <c r="I31">
        <f t="shared" ca="1" si="6"/>
        <v>0</v>
      </c>
    </row>
    <row r="32" spans="1:9" x14ac:dyDescent="0.25">
      <c r="A32" t="s">
        <v>32</v>
      </c>
      <c r="B32" s="6">
        <f ca="1">(((((((B31*256+C31)*256+D31)*256+E31)*256+F31)*256+G31)*256+H31)*256+I31)</f>
        <v>1.1389608325830074E+19</v>
      </c>
      <c r="C32" s="6"/>
      <c r="D32" s="6"/>
      <c r="E32" s="6"/>
      <c r="F32" s="6"/>
      <c r="G32" s="6"/>
      <c r="H32" s="6"/>
    </row>
    <row r="33" spans="1:9" x14ac:dyDescent="0.25">
      <c r="A33" t="s">
        <v>33</v>
      </c>
      <c r="B33" s="7" t="str">
        <f ca="1">DEC2HEX(B31,2)&amp;DEC2HEX(C31,2)&amp;DEC2HEX(D31,2)&amp;DEC2HEX(E31,2)&amp;DEC2HEX(F31,2)&amp;DEC2HEX(G31,2)&amp;DEC2HEX(H31,2)&amp;DEC2HEX(I31,2)</f>
        <v>9E10046D77EEE000</v>
      </c>
      <c r="C33" s="7"/>
      <c r="D33" s="7"/>
      <c r="E33" s="7"/>
      <c r="F33" s="7"/>
      <c r="G33" s="7"/>
      <c r="H33" s="7"/>
    </row>
    <row r="34" spans="1:9" x14ac:dyDescent="0.25">
      <c r="A34" t="s">
        <v>34</v>
      </c>
      <c r="B34" s="5" t="str">
        <f ca="1">HEX2BIN(MID(B33,1,1),4)&amp;" "&amp;HEX2BIN(MID(B33,2,1),4)&amp;" "&amp;HEX2BIN(MID(B33,3,1),4)&amp;" "&amp;HEX2BIN(MID(B33,4,1),4)&amp;" "&amp;HEX2BIN(MID(B33,5,1),4)&amp;" "&amp;HEX2BIN(MID(B33,6,1),4)&amp;" "&amp;HEX2BIN(MID(B33,7,1),4)&amp;" "&amp;HEX2BIN(MID(B33,8,1),4)&amp;" "&amp;HEX2BIN(MID(B33,9,1),4)&amp;" "&amp;HEX2BIN(MID(B33,10,1),4)&amp;" "&amp;HEX2BIN(MID(B33,11,1),4)&amp;" "&amp;HEX2BIN(MID(B33,12,1),4)&amp;" "&amp;HEX2BIN(MID(B33,13,1),4)&amp;" "&amp;HEX2BIN(MID(B33,14,1),4)&amp;" "&amp;HEX2BIN(MID(B33,15,1),4)&amp;" "&amp;HEX2BIN(MID(B33,16,1),4)</f>
        <v>1001 1110 0001 0000 0000 0100 0110 1101 0111 0111 1110 1110 1110 0000 0000 0000</v>
      </c>
      <c r="C34" s="5"/>
      <c r="D34" s="5"/>
      <c r="E34" s="5"/>
      <c r="F34" s="5"/>
      <c r="G34" s="5"/>
      <c r="H34" s="5"/>
      <c r="I34" s="4" t="str">
        <f ca="1">B33</f>
        <v>9E10046D77EEE000</v>
      </c>
    </row>
  </sheetData>
  <mergeCells count="29">
    <mergeCell ref="B21:C21"/>
    <mergeCell ref="I2:J2"/>
    <mergeCell ref="I3:J3"/>
    <mergeCell ref="I4:J4"/>
    <mergeCell ref="B19:C19"/>
    <mergeCell ref="B20:C20"/>
    <mergeCell ref="B18:H18"/>
    <mergeCell ref="B16:H16"/>
    <mergeCell ref="B17:H17"/>
    <mergeCell ref="I5:J5"/>
    <mergeCell ref="B5:C5"/>
    <mergeCell ref="D5:E5"/>
    <mergeCell ref="F5:H5"/>
    <mergeCell ref="B34:H34"/>
    <mergeCell ref="D21:H21"/>
    <mergeCell ref="D27:H27"/>
    <mergeCell ref="D30:H30"/>
    <mergeCell ref="B32:H32"/>
    <mergeCell ref="B33:H33"/>
    <mergeCell ref="B29:C29"/>
    <mergeCell ref="B30:C30"/>
    <mergeCell ref="B22:C22"/>
    <mergeCell ref="B23:C23"/>
    <mergeCell ref="B25:C25"/>
    <mergeCell ref="B26:C26"/>
    <mergeCell ref="B24:C24"/>
    <mergeCell ref="D24:E24"/>
    <mergeCell ref="B27:C27"/>
    <mergeCell ref="B28:C28"/>
  </mergeCells>
  <pageMargins left="0.7" right="0.7" top="0.75" bottom="0.75" header="0.3" footer="0.3"/>
  <ignoredErrors>
    <ignoredError sqref="F3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Grizli777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Belanger, Jonathan</cp:lastModifiedBy>
  <dcterms:created xsi:type="dcterms:W3CDTF">2017-09-24T14:07:42Z</dcterms:created>
  <dcterms:modified xsi:type="dcterms:W3CDTF">2017-09-25T18:54:41Z</dcterms:modified>
</cp:coreProperties>
</file>