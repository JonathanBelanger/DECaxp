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75" windowWidth="20115" windowHeight="11070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F5" i="1"/>
  <c r="D5"/>
  <c r="B5"/>
  <c r="AA5"/>
  <c r="Z5"/>
  <c r="Y5"/>
  <c r="X5"/>
  <c r="W5"/>
  <c r="V5"/>
  <c r="U5"/>
  <c r="T5"/>
  <c r="S5"/>
  <c r="R5"/>
  <c r="Q5"/>
  <c r="P5"/>
  <c r="O5"/>
  <c r="N5"/>
  <c r="M5"/>
  <c r="L5"/>
  <c r="K5"/>
  <c r="I5"/>
  <c r="H4"/>
  <c r="H3"/>
  <c r="H2"/>
  <c r="I21" l="1"/>
  <c r="D3"/>
  <c r="E3" s="1"/>
  <c r="C3"/>
  <c r="F3" s="1"/>
  <c r="G3" s="1"/>
  <c r="I3" s="1"/>
  <c r="C2"/>
  <c r="F2" s="1"/>
  <c r="G2" s="1"/>
  <c r="I2" s="1"/>
  <c r="H21"/>
  <c r="G21"/>
  <c r="G22" s="1"/>
  <c r="F21"/>
  <c r="F22" s="1"/>
  <c r="F23" s="1"/>
  <c r="F24" s="1"/>
  <c r="E21"/>
  <c r="E22" s="1"/>
  <c r="D21"/>
  <c r="D22" s="1"/>
  <c r="C21"/>
  <c r="C22" s="1"/>
  <c r="B21"/>
  <c r="I20"/>
  <c r="H20"/>
  <c r="G20"/>
  <c r="F20"/>
  <c r="E20"/>
  <c r="D20"/>
  <c r="C20"/>
  <c r="B20"/>
  <c r="B4"/>
  <c r="C4" s="1"/>
  <c r="D4" s="1"/>
  <c r="E4" s="1"/>
  <c r="B28"/>
  <c r="D2" l="1"/>
  <c r="E2" s="1"/>
  <c r="B22"/>
  <c r="B23" s="1"/>
  <c r="B24" s="1"/>
  <c r="B25"/>
  <c r="I22"/>
  <c r="I23" s="1"/>
  <c r="I24" s="1"/>
  <c r="F4"/>
  <c r="G4" s="1"/>
  <c r="I4" s="1"/>
  <c r="H22"/>
  <c r="H23" s="1"/>
  <c r="H24" s="1"/>
  <c r="D23"/>
  <c r="D24" s="1"/>
  <c r="E23"/>
  <c r="E24" s="1"/>
  <c r="G23"/>
  <c r="G24" s="1"/>
  <c r="B40"/>
  <c r="B37"/>
  <c r="B34"/>
  <c r="B31"/>
  <c r="B32" l="1"/>
  <c r="B33" s="1"/>
  <c r="D33" s="1"/>
  <c r="B35"/>
  <c r="B36" s="1"/>
  <c r="D36" s="1"/>
  <c r="B38"/>
  <c r="B39" s="1"/>
  <c r="D39" s="1"/>
  <c r="B26"/>
  <c r="B29"/>
  <c r="B30" s="1"/>
  <c r="D30" s="1"/>
  <c r="C23"/>
  <c r="B27" l="1"/>
  <c r="C24"/>
</calcChain>
</file>

<file path=xl/sharedStrings.xml><?xml version="1.0" encoding="utf-8"?>
<sst xmlns="http://schemas.openxmlformats.org/spreadsheetml/2006/main" count="32" uniqueCount="29">
  <si>
    <t>Full Hex Value</t>
  </si>
  <si>
    <t>Full Bin Value</t>
  </si>
  <si>
    <t>Dcache Buffer size (bytes)</t>
  </si>
  <si>
    <t>Dchace Index Size</t>
  </si>
  <si>
    <t>Alpha Page Size (bytes)</t>
  </si>
  <si>
    <t>Decimal</t>
  </si>
  <si>
    <t>Hex</t>
  </si>
  <si>
    <t>Binary</t>
  </si>
  <si>
    <t>High Value</t>
  </si>
  <si>
    <t>Full Decimal Value</t>
  </si>
  <si>
    <t>Dcache Offset Decimal</t>
  </si>
  <si>
    <t>Dcache Offset Hex</t>
  </si>
  <si>
    <t>High Value Mask</t>
  </si>
  <si>
    <t>Mask Hex</t>
  </si>
  <si>
    <t>Mask Binary</t>
  </si>
  <si>
    <t>Dcache Index Decimal</t>
  </si>
  <si>
    <t>Dcache Page Offset Decimal</t>
  </si>
  <si>
    <t>Dcache Page Offset Hex</t>
  </si>
  <si>
    <t>Dcache Index Hex</t>
  </si>
  <si>
    <t>Dcache Index Decimal Loc</t>
  </si>
  <si>
    <t>Dcache Index Hex Loc</t>
  </si>
  <si>
    <t>Dcache Index Binary Loc</t>
  </si>
  <si>
    <t>Mask Binary Formatted</t>
  </si>
  <si>
    <t>Dcache Offset Binary</t>
  </si>
  <si>
    <t>Dcache Index Binary</t>
  </si>
  <si>
    <t>Dcache Page Offset Binary</t>
  </si>
  <si>
    <t>Binary Formatted</t>
  </si>
  <si>
    <t>Virtual Page Number</t>
  </si>
  <si>
    <t>Virual Page Number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</si>
</sst>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1" fontId="0" fillId="0" borderId="0" xfId="0" applyNumberFormat="1" applyAlignment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A40"/>
  <sheetViews>
    <sheetView tabSelected="1" topLeftCell="A7" workbookViewId="0">
      <selection activeCell="B40" sqref="B40"/>
    </sheetView>
  </sheetViews>
  <sheetFormatPr defaultRowHeight="15"/>
  <cols>
    <col min="1" max="1" width="26.140625" bestFit="1" customWidth="1"/>
    <col min="2" max="2" width="12.28515625" customWidth="1"/>
    <col min="3" max="3" width="10.5703125" bestFit="1" customWidth="1"/>
    <col min="4" max="4" width="9.42578125" bestFit="1" customWidth="1"/>
    <col min="5" max="5" width="14.140625" bestFit="1" customWidth="1"/>
    <col min="6" max="6" width="20.5703125" customWidth="1"/>
    <col min="7" max="7" width="19.140625" customWidth="1"/>
    <col min="8" max="8" width="25.5703125" customWidth="1"/>
    <col min="9" max="9" width="21.7109375" bestFit="1" customWidth="1"/>
    <col min="10" max="10" width="36.140625" customWidth="1"/>
    <col min="11" max="27" width="3" bestFit="1" customWidth="1"/>
    <col min="28" max="28" width="25" bestFit="1" customWidth="1"/>
    <col min="29" max="29" width="17.42578125" bestFit="1" customWidth="1"/>
    <col min="30" max="30" width="20.5703125" bestFit="1" customWidth="1"/>
  </cols>
  <sheetData>
    <row r="1" spans="1:27">
      <c r="B1" t="s">
        <v>5</v>
      </c>
      <c r="C1" t="s">
        <v>8</v>
      </c>
      <c r="D1" t="s">
        <v>6</v>
      </c>
      <c r="E1" t="s">
        <v>7</v>
      </c>
      <c r="F1" t="s">
        <v>12</v>
      </c>
      <c r="G1" t="s">
        <v>13</v>
      </c>
      <c r="H1" t="s">
        <v>14</v>
      </c>
      <c r="I1" t="s">
        <v>22</v>
      </c>
    </row>
    <row r="2" spans="1:27">
      <c r="A2" s="2" t="s">
        <v>2</v>
      </c>
      <c r="B2">
        <v>64</v>
      </c>
      <c r="C2">
        <f>B2-1</f>
        <v>63</v>
      </c>
      <c r="D2" t="str">
        <f>DEC2HEX(C2,2)</f>
        <v>3F</v>
      </c>
      <c r="E2" t="str">
        <f>HEX2BIN(D2)</f>
        <v>111111</v>
      </c>
      <c r="F2">
        <f>C2</f>
        <v>63</v>
      </c>
      <c r="G2" t="str">
        <f>DEC2HEX(F2,2)</f>
        <v>3F</v>
      </c>
      <c r="H2" t="str">
        <f>"0000000000"&amp;HEX2BIN(G2)</f>
        <v>0000000000111111</v>
      </c>
      <c r="I2" s="3" t="str">
        <f>MID(H2, 1, 4)&amp;" "&amp;MID(H2, 5, 4)&amp;" "&amp;MID(H2, 9, 4)&amp;" "&amp;MID(H2, 13, 4)</f>
        <v>0000 0000 0011 1111</v>
      </c>
      <c r="J2" s="3"/>
    </row>
    <row r="3" spans="1:27">
      <c r="A3" s="2" t="s">
        <v>3</v>
      </c>
      <c r="B3">
        <v>512</v>
      </c>
      <c r="C3">
        <f>B3-1</f>
        <v>511</v>
      </c>
      <c r="D3" t="str">
        <f>DEC2HEX(C3,3)</f>
        <v>1FF</v>
      </c>
      <c r="E3" t="str">
        <f>HEX2BIN(D3)</f>
        <v>111111111</v>
      </c>
      <c r="F3">
        <f>C3*B2</f>
        <v>32704</v>
      </c>
      <c r="G3" t="str">
        <f>DEC2HEX(F3)</f>
        <v>7FC0</v>
      </c>
      <c r="H3" t="str">
        <f>"0"&amp;HEX2BIN(MID(G3,1,2))&amp;HEX2BIN(MID(G3,3,2))</f>
        <v>0111111111000000</v>
      </c>
      <c r="I3" s="3" t="str">
        <f>MID(H3, 1, 4)&amp;" "&amp;MID(H3, 5, 4)&amp;" "&amp;MID(H3, 9, 4)&amp;" "&amp;MID(H3, 13, 4)</f>
        <v>0111 1111 1100 0000</v>
      </c>
      <c r="J3" s="3"/>
    </row>
    <row r="4" spans="1:27">
      <c r="A4" s="2" t="s">
        <v>4</v>
      </c>
      <c r="B4">
        <f>8*1024</f>
        <v>8192</v>
      </c>
      <c r="C4">
        <f>B4-1</f>
        <v>8191</v>
      </c>
      <c r="D4" t="str">
        <f>DEC2HEX(C4,4)</f>
        <v>1FFF</v>
      </c>
      <c r="E4" t="str">
        <f>HEX2BIN(MID(D4,1,2))&amp;HEX2BIN(MID(D4,3,2))</f>
        <v>1111111111111</v>
      </c>
      <c r="F4">
        <f>C4</f>
        <v>8191</v>
      </c>
      <c r="G4" t="str">
        <f>DEC2HEX(F4,4)</f>
        <v>1FFF</v>
      </c>
      <c r="H4" t="str">
        <f>"000"&amp;HEX2BIN(MID(G4,1,2))&amp;HEX2BIN(MID(G4,3,2))</f>
        <v>0001111111111111</v>
      </c>
      <c r="I4" s="3" t="str">
        <f>MID(H4, 1, 4)&amp;" "&amp;MID(H4, 5, 4)&amp;" "&amp;MID(H4, 9, 4)&amp;" "&amp;MID(H4, 13, 4)</f>
        <v>0001 1111 1111 1111</v>
      </c>
      <c r="J4" s="3"/>
    </row>
    <row r="5" spans="1:27">
      <c r="A5" s="2" t="s">
        <v>28</v>
      </c>
      <c r="B5" s="5">
        <f>(((((((((((((((K5*16+L5)*16+M5)*16+N5)*16+O5)*16+P5)*16+Q5)*16+R5)*16+S5)*16+T5)*16+U5)*16+V5)*16+W5)*16+X5)*16+Y5)*16+Z5)*16+AA5</f>
        <v>2.9514790517935269E+20</v>
      </c>
      <c r="C5" s="5"/>
      <c r="D5" s="6" t="str">
        <f>"FFFFFFFFFE000"</f>
        <v>FFFFFFFFFE000</v>
      </c>
      <c r="E5" s="6"/>
      <c r="F5" s="3" t="str">
        <f>"1111111111111111111111111111111111111111111111111110000000000000"</f>
        <v>1111111111111111111111111111111111111111111111111110000000000000</v>
      </c>
      <c r="G5" s="3"/>
      <c r="H5" s="3"/>
      <c r="I5" s="3" t="str">
        <f>"1111 1111 1111 1111 1111 1111 1111 1111 1111 1111 1111 1111 1110 0000 0000 0000"</f>
        <v>1111 1111 1111 1111 1111 1111 1111 1111 1111 1111 1111 1111 1110 0000 0000 0000</v>
      </c>
      <c r="J5" s="3"/>
      <c r="K5">
        <f>BIN2DEC(MID($I$5,1,4))</f>
        <v>15</v>
      </c>
      <c r="L5">
        <f>BIN2DEC(MID($I$5,6,4))</f>
        <v>15</v>
      </c>
      <c r="M5">
        <f>BIN2DEC(MID($I$5,11,4))</f>
        <v>15</v>
      </c>
      <c r="N5">
        <f>BIN2DEC(MID($I$5,16,4))</f>
        <v>15</v>
      </c>
      <c r="O5">
        <f>BIN2DEC(MID($I$5,21,4))</f>
        <v>15</v>
      </c>
      <c r="P5">
        <f>BIN2DEC(MID($I$5,26,4))</f>
        <v>15</v>
      </c>
      <c r="Q5">
        <f>BIN2DEC(MID($I$5,31,4))</f>
        <v>15</v>
      </c>
      <c r="R5">
        <f>BIN2DEC(MID($I$5,36,4))</f>
        <v>15</v>
      </c>
      <c r="S5">
        <f>BIN2DEC(MID($I$5,41,4))</f>
        <v>15</v>
      </c>
      <c r="T5">
        <f>BIN2DEC(MID($I$5,46,4))</f>
        <v>15</v>
      </c>
      <c r="U5">
        <f>BIN2DEC(MID($I$5,51,4))</f>
        <v>15</v>
      </c>
      <c r="V5">
        <f>BIN2DEC(MID($I$5,56,4))</f>
        <v>15</v>
      </c>
      <c r="W5">
        <f>BIN2DEC(MID($I$5,61,4))</f>
        <v>14</v>
      </c>
      <c r="X5">
        <f>BIN2DEC(MID($I$5,66,4))</f>
        <v>0</v>
      </c>
      <c r="Y5">
        <f>BIN2DEC(MID($I$5,71,4))</f>
        <v>0</v>
      </c>
      <c r="Z5">
        <f>BIN2DEC(MID($I$5,76,4))</f>
        <v>0</v>
      </c>
      <c r="AA5">
        <f>BIN2DEC(MID($I$5,81,4))</f>
        <v>0</v>
      </c>
    </row>
    <row r="20" spans="1:10">
      <c r="B20" t="str">
        <f>"Bits " &amp;63&amp;"-"&amp;63-8+1</f>
        <v>Bits 63-56</v>
      </c>
      <c r="C20" t="str">
        <f>"Bits " &amp;55&amp;"-"&amp;55-8+1</f>
        <v>Bits 55-48</v>
      </c>
      <c r="D20" t="str">
        <f>"Bits " &amp;47&amp;"-"&amp;47-8+1</f>
        <v>Bits 47-40</v>
      </c>
      <c r="E20" t="str">
        <f>"Bits " &amp;39&amp;"-"&amp;39-8+1</f>
        <v>Bits 39-32</v>
      </c>
      <c r="F20" t="str">
        <f>"Bits " &amp;31&amp;"-"&amp;31-8+1</f>
        <v>Bits 31-24</v>
      </c>
      <c r="G20" t="str">
        <f>"Bits " &amp;23&amp;"-"&amp;23-8+1</f>
        <v>Bits 23-16</v>
      </c>
      <c r="H20" t="str">
        <f>"Bits " &amp;15&amp;"-"&amp;15-8+1</f>
        <v>Bits 15-8</v>
      </c>
      <c r="I20" t="str">
        <f>"Bits " &amp;7&amp;"-"&amp;7-8+1</f>
        <v>Bits 7-0</v>
      </c>
    </row>
    <row r="21" spans="1:10">
      <c r="A21" t="s">
        <v>5</v>
      </c>
      <c r="B21" s="1">
        <f ca="1">INT(RAND()*256)</f>
        <v>243</v>
      </c>
      <c r="C21" s="1">
        <f ca="1">INT(RAND()*256)</f>
        <v>107</v>
      </c>
      <c r="D21" s="1">
        <f ca="1">INT(RAND()*256)</f>
        <v>238</v>
      </c>
      <c r="E21" s="1">
        <f ca="1">INT(RAND()*256)</f>
        <v>159</v>
      </c>
      <c r="F21" s="1">
        <f ca="1">INT(RAND()*256)</f>
        <v>219</v>
      </c>
      <c r="G21" s="1">
        <f ca="1">INT(RAND()*256)</f>
        <v>165</v>
      </c>
      <c r="H21" s="1">
        <f ca="1">INT(RAND()*256)</f>
        <v>39</v>
      </c>
      <c r="I21" s="1">
        <f ca="1">INT(RAND()*256)</f>
        <v>179</v>
      </c>
      <c r="J21" s="1"/>
    </row>
    <row r="22" spans="1:10">
      <c r="A22" t="s">
        <v>6</v>
      </c>
      <c r="B22" s="1" t="str">
        <f ca="1">DEC2HEX(B21,2)</f>
        <v>F3</v>
      </c>
      <c r="C22" s="1" t="str">
        <f ca="1">DEC2HEX(C21,2)</f>
        <v>6B</v>
      </c>
      <c r="D22" s="1" t="str">
        <f ca="1">DEC2HEX(D21,2)</f>
        <v>EE</v>
      </c>
      <c r="E22" s="1" t="str">
        <f ca="1">DEC2HEX(E21,2)</f>
        <v>9F</v>
      </c>
      <c r="F22" s="1" t="str">
        <f ca="1">DEC2HEX(F21,2)</f>
        <v>DB</v>
      </c>
      <c r="G22" s="1" t="str">
        <f ca="1">DEC2HEX(G21,2)</f>
        <v>A5</v>
      </c>
      <c r="H22" s="1" t="str">
        <f ca="1">DEC2HEX(H21,2)</f>
        <v>27</v>
      </c>
      <c r="I22" s="1" t="str">
        <f ca="1">DEC2HEX(I21,2)</f>
        <v>B3</v>
      </c>
    </row>
    <row r="23" spans="1:10">
      <c r="A23" t="s">
        <v>7</v>
      </c>
      <c r="B23" s="1" t="str">
        <f ca="1">HEX2BIN(B22,8)</f>
        <v>11110011</v>
      </c>
      <c r="C23" s="1" t="str">
        <f ca="1">HEX2BIN(C22,8)</f>
        <v>01101011</v>
      </c>
      <c r="D23" s="1" t="str">
        <f ca="1">HEX2BIN(D22,8)</f>
        <v>11101110</v>
      </c>
      <c r="E23" s="1" t="str">
        <f ca="1">HEX2BIN(E22,8)</f>
        <v>10011111</v>
      </c>
      <c r="F23" s="1" t="str">
        <f ca="1">HEX2BIN(F22,8)</f>
        <v>11011011</v>
      </c>
      <c r="G23" s="1" t="str">
        <f ca="1">HEX2BIN(G22,8)</f>
        <v>10100101</v>
      </c>
      <c r="H23" s="1" t="str">
        <f ca="1">HEX2BIN(H22,8)</f>
        <v>00100111</v>
      </c>
      <c r="I23" s="1" t="str">
        <f ca="1">HEX2BIN(I22,8)</f>
        <v>10110011</v>
      </c>
    </row>
    <row r="24" spans="1:10">
      <c r="A24" t="s">
        <v>26</v>
      </c>
      <c r="B24" s="1" t="str">
        <f ca="1">MID(B23,1,4)&amp;" "&amp;MID(B23,5,4)</f>
        <v>1111 0011</v>
      </c>
      <c r="C24" s="1" t="str">
        <f ca="1">MID(C23,1,4)&amp;" "&amp;MID(C23,5,4)</f>
        <v>0110 1011</v>
      </c>
      <c r="D24" s="1" t="str">
        <f ca="1">MID(D23,1,4)&amp;" "&amp;MID(D23,5,4)</f>
        <v>1110 1110</v>
      </c>
      <c r="E24" s="1" t="str">
        <f ca="1">MID(E23,1,4)&amp;" "&amp;MID(E23,5,4)</f>
        <v>1001 1111</v>
      </c>
      <c r="F24" s="1" t="str">
        <f ca="1">MID(F23,1,4)&amp;" "&amp;MID(F23,5,4)</f>
        <v>1101 1011</v>
      </c>
      <c r="G24" s="1" t="str">
        <f ca="1">MID(G23,1,4)&amp;" "&amp;MID(G23,5,4)</f>
        <v>1010 0101</v>
      </c>
      <c r="H24" s="1" t="str">
        <f ca="1">MID(H23,1,4)&amp;" "&amp;MID(H23,5,4)</f>
        <v>0010 0111</v>
      </c>
      <c r="I24" s="1" t="str">
        <f ca="1">MID(I23,1,4)&amp;" "&amp;MID(I23,5,4)</f>
        <v>1011 0011</v>
      </c>
    </row>
    <row r="25" spans="1:10">
      <c r="A25" t="s">
        <v>9</v>
      </c>
      <c r="B25" s="4">
        <f ca="1">((((((B21*256+C21)*256+D21)*256+E21)*256+F21)*256+G21)*256+H21)*256+I21</f>
        <v>1.7540375544076773E+19</v>
      </c>
      <c r="C25" s="4"/>
      <c r="D25" s="4"/>
      <c r="E25" s="4"/>
      <c r="F25" s="4"/>
      <c r="G25" s="4"/>
      <c r="H25" s="4"/>
      <c r="I25" s="2"/>
    </row>
    <row r="26" spans="1:10">
      <c r="A26" t="s">
        <v>0</v>
      </c>
      <c r="B26" s="3" t="str">
        <f ca="1">B22&amp;C22&amp;D22&amp;E22&amp;F22&amp;G22&amp;H22&amp;I22</f>
        <v>F36BEE9FDBA527B3</v>
      </c>
      <c r="C26" s="3"/>
      <c r="D26" s="3"/>
      <c r="E26" s="3"/>
      <c r="F26" s="3"/>
      <c r="G26" s="3"/>
      <c r="H26" s="3"/>
      <c r="I26" s="2"/>
    </row>
    <row r="27" spans="1:10">
      <c r="A27" t="s">
        <v>1</v>
      </c>
      <c r="B27" s="3" t="str">
        <f ca="1">MID(B23,1,4)&amp;" "&amp;MID(B23,5,4)&amp;" "&amp;MID(C23,1,4)&amp;" "&amp;MID(C23,5,4)&amp;" "&amp;MID(D23,1,4)&amp;" "&amp;MID(D23,5,4)&amp;" "&amp;MID(E23,1,4)&amp;" "&amp;MID(E23,5,4)&amp;" "&amp;MID(F23,1,4)&amp;" "&amp;MID(F23,5,4)&amp;" "&amp;MID(G23,1,4)&amp;" "&amp;MID(G23,5,4)&amp;" "&amp;MID(H23,1,4)&amp;" "&amp;MID(H23,5,4)&amp;" "&amp;MID(I23,1,4)&amp;" "&amp;MID(I23,5,4)</f>
        <v>1111 0011 0110 1011 1110 1110 1001 1111 1101 1011 1010 0101 0010 0111 1011 0011</v>
      </c>
      <c r="C27" s="3"/>
      <c r="D27" s="3"/>
      <c r="E27" s="3"/>
      <c r="F27" s="3"/>
      <c r="G27" s="3"/>
      <c r="H27" s="3"/>
    </row>
    <row r="28" spans="1:10">
      <c r="A28" t="s">
        <v>10</v>
      </c>
      <c r="B28" s="3">
        <f ca="1">BITAND(I21,$C$2)</f>
        <v>51</v>
      </c>
      <c r="C28" s="3"/>
    </row>
    <row r="29" spans="1:10">
      <c r="A29" t="s">
        <v>11</v>
      </c>
      <c r="B29" s="3" t="str">
        <f ca="1">DEC2HEX(B28,2)</f>
        <v>33</v>
      </c>
      <c r="C29" s="3"/>
    </row>
    <row r="30" spans="1:10">
      <c r="A30" t="s">
        <v>23</v>
      </c>
      <c r="B30" s="3" t="str">
        <f ca="1">HEX2BIN(B29,LEN(E2))</f>
        <v>110011</v>
      </c>
      <c r="C30" s="3"/>
      <c r="D30" s="3" t="str">
        <f ca="1">MID(B30, 1, 2)&amp;" "&amp;MID(B30, 3, 4)</f>
        <v>11 0011</v>
      </c>
      <c r="E30" s="3"/>
    </row>
    <row r="31" spans="1:10">
      <c r="A31" t="s">
        <v>15</v>
      </c>
      <c r="B31" s="3">
        <f ca="1">BITAND((H21*256+I21),$F$3)/$B$2</f>
        <v>158</v>
      </c>
      <c r="C31" s="3"/>
    </row>
    <row r="32" spans="1:10">
      <c r="A32" t="s">
        <v>18</v>
      </c>
      <c r="B32" s="3" t="str">
        <f ca="1">DEC2HEX(B31,LEN(D3))</f>
        <v>09E</v>
      </c>
      <c r="C32" s="3"/>
    </row>
    <row r="33" spans="1:5">
      <c r="A33" t="s">
        <v>24</v>
      </c>
      <c r="B33" s="3" t="str">
        <f ca="1">HEX2BIN(B32,LEN(E3))</f>
        <v>010011110</v>
      </c>
      <c r="C33" s="3"/>
      <c r="D33" s="3" t="str">
        <f ca="1">MID(B33, 1, 1)&amp;" "&amp;MID(B33, 2, 4)&amp;" "&amp;MID(B33, 6, 4)</f>
        <v>0 1001 1110</v>
      </c>
      <c r="E33" s="3"/>
    </row>
    <row r="34" spans="1:5">
      <c r="A34" t="s">
        <v>19</v>
      </c>
      <c r="B34" s="3">
        <f ca="1">BITAND((H21*256+I21),$F$3)</f>
        <v>10112</v>
      </c>
      <c r="C34" s="3"/>
    </row>
    <row r="35" spans="1:5">
      <c r="A35" t="s">
        <v>20</v>
      </c>
      <c r="B35" s="3" t="str">
        <f ca="1">DEC2HEX(B34,4)</f>
        <v>2780</v>
      </c>
      <c r="C35" s="3"/>
    </row>
    <row r="36" spans="1:5">
      <c r="A36" t="s">
        <v>21</v>
      </c>
      <c r="B36" s="3" t="str">
        <f ca="1">HEX2BIN(MID(B35,1,2),8)&amp;HEX2BIN(MID(B35,3,2),8)</f>
        <v>0010011110000000</v>
      </c>
      <c r="C36" s="3"/>
      <c r="D36" s="3" t="str">
        <f ca="1">MID(B36, 1, 4)&amp;" "&amp;MID(B36, 5, 4)&amp;" "&amp;MID(B36, 9, 4)&amp;" "&amp;MID(B36, 13, 4)</f>
        <v>0010 0111 1000 0000</v>
      </c>
      <c r="E36" s="3"/>
    </row>
    <row r="37" spans="1:5">
      <c r="A37" t="s">
        <v>16</v>
      </c>
      <c r="B37" s="3">
        <f ca="1">BITAND((H21*256+I21),$F$4)</f>
        <v>1971</v>
      </c>
      <c r="C37" s="3"/>
    </row>
    <row r="38" spans="1:5">
      <c r="A38" t="s">
        <v>17</v>
      </c>
      <c r="B38" s="3" t="str">
        <f ca="1">DEC2HEX(B37, 4)</f>
        <v>07B3</v>
      </c>
      <c r="C38" s="3"/>
    </row>
    <row r="39" spans="1:5">
      <c r="A39" t="s">
        <v>25</v>
      </c>
      <c r="B39" s="3" t="str">
        <f ca="1">HEX2BIN(MID(B38,1,2),8)&amp;HEX2BIN(MID(B38,3,2),8)</f>
        <v>0000011110110011</v>
      </c>
      <c r="C39" s="3"/>
      <c r="D39" s="3" t="str">
        <f ca="1">MID(B39, 1, 4)&amp;" "&amp;MID(B39, 5, 4)&amp;" "&amp;MID(B39, 9, 4)&amp;" "&amp;MID(B39, 13, 4)</f>
        <v>0000 0111 1011 0011</v>
      </c>
      <c r="E39" s="3"/>
    </row>
    <row r="40" spans="1:5">
      <c r="A40" t="s">
        <v>27</v>
      </c>
      <c r="B40" t="e">
        <f ca="1">BITAND(B25,B5)</f>
        <v>#NUM!</v>
      </c>
    </row>
  </sheetData>
  <mergeCells count="26">
    <mergeCell ref="I5:J5"/>
    <mergeCell ref="B5:C5"/>
    <mergeCell ref="D5:E5"/>
    <mergeCell ref="F5:H5"/>
    <mergeCell ref="B30:C30"/>
    <mergeCell ref="B33:C33"/>
    <mergeCell ref="D30:E30"/>
    <mergeCell ref="D33:E33"/>
    <mergeCell ref="B36:C36"/>
    <mergeCell ref="B37:C37"/>
    <mergeCell ref="B38:C38"/>
    <mergeCell ref="B39:C39"/>
    <mergeCell ref="I2:J2"/>
    <mergeCell ref="I3:J3"/>
    <mergeCell ref="I4:J4"/>
    <mergeCell ref="D36:E36"/>
    <mergeCell ref="D39:E39"/>
    <mergeCell ref="B28:C28"/>
    <mergeCell ref="B29:C29"/>
    <mergeCell ref="B31:C31"/>
    <mergeCell ref="B32:C32"/>
    <mergeCell ref="B34:C34"/>
    <mergeCell ref="B35:C35"/>
    <mergeCell ref="B27:H27"/>
    <mergeCell ref="B25:H25"/>
    <mergeCell ref="B26:H26"/>
  </mergeCells>
  <pageMargins left="0.7" right="0.7" top="0.75" bottom="0.75" header="0.3" footer="0.3"/>
  <ignoredErrors>
    <ignoredError sqref="F3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2017-09-24T14:07:42Z</dcterms:created>
  <dcterms:modified xsi:type="dcterms:W3CDTF">2017-09-24T17:39:23Z</dcterms:modified>
</cp:coreProperties>
</file>